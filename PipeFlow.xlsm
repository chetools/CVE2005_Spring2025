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cc\Downloads\"/>
    </mc:Choice>
  </mc:AlternateContent>
  <xr:revisionPtr revIDLastSave="0" documentId="13_ncr:1_{0C718ADE-2FFB-4137-9C3A-BB2D7A0314EB}" xr6:coauthVersionLast="47" xr6:coauthVersionMax="47" xr10:uidLastSave="{00000000-0000-0000-0000-000000000000}"/>
  <bookViews>
    <workbookView xWindow="28680" yWindow="-120" windowWidth="29040" windowHeight="15720" activeTab="1" xr2:uid="{6582C941-981F-4FE0-9E10-4678A0F5DD7E}"/>
  </bookViews>
  <sheets>
    <sheet name="FrictionFactor_vs_Reynolds#_eD" sheetId="1" r:id="rId1"/>
    <sheet name="Sheet2" sheetId="2" r:id="rId2"/>
  </sheets>
  <functionGroups builtInGroupCount="19"/>
  <definedNames>
    <definedName name="D.">Sheet2!$B$4</definedName>
    <definedName name="deltaP.">Sheet2!$B$10</definedName>
    <definedName name="duration.">Sheet2!$B$17</definedName>
    <definedName name="eD.">Sheet2!$B$8</definedName>
    <definedName name="L.">Sheet2!$B$3</definedName>
    <definedName name="mu.">Sheet2!$B$2</definedName>
    <definedName name="power.">Sheet2!$B$14</definedName>
    <definedName name="Q.">Sheet2!$B$5</definedName>
    <definedName name="Re.">Sheet2!$B$7</definedName>
    <definedName name="rho.">Sheet2!$B$1</definedName>
    <definedName name="V.">Sheet2!$B$6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2" l="1"/>
  <c r="B20" i="2"/>
  <c r="B19" i="2"/>
  <c r="B17" i="2"/>
  <c r="B15" i="2"/>
  <c r="B14" i="2"/>
  <c r="B6" i="2"/>
  <c r="B7" i="2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2" i="1"/>
  <c r="B10" i="2" a="1"/>
  <c r="D42" i="1" a="1"/>
  <c r="D52" i="1" a="1"/>
  <c r="D27" i="1" a="1"/>
  <c r="D82" i="1" a="1"/>
  <c r="D74" i="1" a="1"/>
  <c r="D66" i="1" a="1"/>
  <c r="D58" i="1" a="1"/>
  <c r="D50" i="1" a="1"/>
  <c r="D34" i="1" a="1"/>
  <c r="D26" i="1" a="1"/>
  <c r="D18" i="1" a="1"/>
  <c r="D10" i="1" a="1"/>
  <c r="D2" i="1" a="1"/>
  <c r="D21" i="1" a="1"/>
  <c r="D36" i="1" a="1"/>
  <c r="D3" i="1" a="1"/>
  <c r="D5" i="1" a="1"/>
  <c r="D81" i="1" a="1"/>
  <c r="D73" i="1" a="1"/>
  <c r="D65" i="1" a="1"/>
  <c r="D57" i="1" a="1"/>
  <c r="D49" i="1" a="1"/>
  <c r="D41" i="1" a="1"/>
  <c r="D33" i="1" a="1"/>
  <c r="D25" i="1" a="1"/>
  <c r="D17" i="1" a="1"/>
  <c r="D9" i="1" a="1"/>
  <c r="D71" i="1" a="1"/>
  <c r="D31" i="1" a="1"/>
  <c r="D7" i="1" a="1"/>
  <c r="D37" i="1" a="1"/>
  <c r="D20" i="1" a="1"/>
  <c r="D43" i="1" a="1"/>
  <c r="D63" i="1" a="1"/>
  <c r="D68" i="1" a="1"/>
  <c r="D51" i="1" a="1"/>
  <c r="D80" i="1" a="1"/>
  <c r="D72" i="1" a="1"/>
  <c r="D64" i="1" a="1"/>
  <c r="D56" i="1" a="1"/>
  <c r="D48" i="1" a="1"/>
  <c r="D40" i="1" a="1"/>
  <c r="D32" i="1" a="1"/>
  <c r="D24" i="1" a="1"/>
  <c r="D16" i="1" a="1"/>
  <c r="D8" i="1" a="1"/>
  <c r="D55" i="1" a="1"/>
  <c r="D39" i="1" a="1"/>
  <c r="D23" i="1" a="1"/>
  <c r="D15" i="1" a="1"/>
  <c r="D45" i="1" a="1"/>
  <c r="D12" i="1" a="1"/>
  <c r="D79" i="1" a="1"/>
  <c r="D44" i="1" a="1"/>
  <c r="D19" i="1" a="1"/>
  <c r="D47" i="1" a="1"/>
  <c r="D60" i="1" a="1"/>
  <c r="D59" i="1" a="1"/>
  <c r="D30" i="1" a="1"/>
  <c r="D61" i="1" a="1"/>
  <c r="D4" i="1" a="1"/>
  <c r="D67" i="1" a="1"/>
  <c r="D78" i="1" a="1"/>
  <c r="D70" i="1" a="1"/>
  <c r="D62" i="1" a="1"/>
  <c r="D54" i="1" a="1"/>
  <c r="D46" i="1" a="1"/>
  <c r="D38" i="1" a="1"/>
  <c r="D22" i="1" a="1"/>
  <c r="D14" i="1" a="1"/>
  <c r="D6" i="1" a="1"/>
  <c r="D53" i="1" a="1"/>
  <c r="D75" i="1" a="1"/>
  <c r="D13" i="1" a="1"/>
  <c r="D77" i="1" a="1"/>
  <c r="D69" i="1" a="1"/>
  <c r="D29" i="1" a="1"/>
  <c r="D28" i="1" a="1"/>
  <c r="D11" i="1" a="1"/>
  <c r="D76" i="1" a="1"/>
  <c r="D35" i="1" a="1"/>
  <c r="C3" i="1" a="1"/>
  <c r="C11" i="1" a="1"/>
  <c r="C19" i="1" a="1"/>
  <c r="C27" i="1" a="1"/>
  <c r="C35" i="1" a="1"/>
  <c r="C43" i="1" a="1"/>
  <c r="C51" i="1" a="1"/>
  <c r="C59" i="1" a="1"/>
  <c r="C67" i="1" a="1"/>
  <c r="C75" i="1" a="1"/>
  <c r="C12" i="1" a="1"/>
  <c r="C52" i="1" a="1"/>
  <c r="C76" i="1" a="1"/>
  <c r="C4" i="1" a="1"/>
  <c r="C20" i="1" a="1"/>
  <c r="C28" i="1" a="1"/>
  <c r="C36" i="1" a="1"/>
  <c r="C44" i="1" a="1"/>
  <c r="C68" i="1" a="1"/>
  <c r="C60" i="1" a="1"/>
  <c r="C69" i="1" a="1"/>
  <c r="C73" i="1" a="1"/>
  <c r="C5" i="1" a="1"/>
  <c r="C13" i="1" a="1"/>
  <c r="C21" i="1" a="1"/>
  <c r="C29" i="1" a="1"/>
  <c r="C37" i="1" a="1"/>
  <c r="C45" i="1" a="1"/>
  <c r="C53" i="1" a="1"/>
  <c r="C61" i="1" a="1"/>
  <c r="C77" i="1" a="1"/>
  <c r="C63" i="1" a="1"/>
  <c r="C65" i="1" a="1"/>
  <c r="C62" i="1" a="1"/>
  <c r="C6" i="1" a="1"/>
  <c r="C14" i="1" a="1"/>
  <c r="C22" i="1" a="1"/>
  <c r="C30" i="1" a="1"/>
  <c r="C38" i="1" a="1"/>
  <c r="C46" i="1" a="1"/>
  <c r="C54" i="1" a="1"/>
  <c r="C70" i="1" a="1"/>
  <c r="C78" i="1" a="1"/>
  <c r="C55" i="1" a="1"/>
  <c r="C49" i="1" a="1"/>
  <c r="C31" i="1" a="1"/>
  <c r="C7" i="1" a="1"/>
  <c r="C15" i="1" a="1"/>
  <c r="C23" i="1" a="1"/>
  <c r="C39" i="1" a="1"/>
  <c r="C47" i="1" a="1"/>
  <c r="C71" i="1" a="1"/>
  <c r="C79" i="1" a="1"/>
  <c r="C8" i="1" a="1"/>
  <c r="C16" i="1" a="1"/>
  <c r="C24" i="1" a="1"/>
  <c r="C32" i="1" a="1"/>
  <c r="C40" i="1" a="1"/>
  <c r="C48" i="1" a="1"/>
  <c r="C56" i="1" a="1"/>
  <c r="C64" i="1" a="1"/>
  <c r="C72" i="1" a="1"/>
  <c r="C80" i="1" a="1"/>
  <c r="C41" i="1" a="1"/>
  <c r="C9" i="1" a="1"/>
  <c r="C17" i="1" a="1"/>
  <c r="C25" i="1" a="1"/>
  <c r="C33" i="1" a="1"/>
  <c r="C57" i="1" a="1"/>
  <c r="C81" i="1" a="1"/>
  <c r="C10" i="1" a="1"/>
  <c r="C18" i="1" a="1"/>
  <c r="C26" i="1" a="1"/>
  <c r="C34" i="1" a="1"/>
  <c r="C42" i="1" a="1"/>
  <c r="C50" i="1" a="1"/>
  <c r="C58" i="1" a="1"/>
  <c r="C66" i="1" a="1"/>
  <c r="C74" i="1" a="1"/>
  <c r="C82" i="1" a="1"/>
  <c r="C2" i="1" a="1"/>
  <c r="B10" i="2" l="1"/>
  <c r="B11" i="2" s="1"/>
  <c r="B12" i="2" s="1"/>
  <c r="D35" i="1"/>
  <c r="D76" i="1"/>
  <c r="D11" i="1"/>
  <c r="D28" i="1"/>
  <c r="D29" i="1"/>
  <c r="D69" i="1"/>
  <c r="D77" i="1"/>
  <c r="D13" i="1"/>
  <c r="D75" i="1"/>
  <c r="D53" i="1"/>
  <c r="D6" i="1"/>
  <c r="D14" i="1"/>
  <c r="D22" i="1"/>
  <c r="D38" i="1"/>
  <c r="D46" i="1"/>
  <c r="D54" i="1"/>
  <c r="D62" i="1"/>
  <c r="D70" i="1"/>
  <c r="D78" i="1"/>
  <c r="D67" i="1"/>
  <c r="D4" i="1"/>
  <c r="D61" i="1"/>
  <c r="D30" i="1"/>
  <c r="D59" i="1"/>
  <c r="D60" i="1"/>
  <c r="D47" i="1"/>
  <c r="D19" i="1"/>
  <c r="D44" i="1"/>
  <c r="D79" i="1"/>
  <c r="D12" i="1"/>
  <c r="D45" i="1"/>
  <c r="D15" i="1"/>
  <c r="D23" i="1"/>
  <c r="D39" i="1"/>
  <c r="D55" i="1"/>
  <c r="D8" i="1"/>
  <c r="D16" i="1"/>
  <c r="D24" i="1"/>
  <c r="D32" i="1"/>
  <c r="D40" i="1"/>
  <c r="D48" i="1"/>
  <c r="D56" i="1"/>
  <c r="D64" i="1"/>
  <c r="D72" i="1"/>
  <c r="D80" i="1"/>
  <c r="D51" i="1"/>
  <c r="D68" i="1"/>
  <c r="D63" i="1"/>
  <c r="D43" i="1"/>
  <c r="D20" i="1"/>
  <c r="D37" i="1"/>
  <c r="D7" i="1"/>
  <c r="D31" i="1"/>
  <c r="D71" i="1"/>
  <c r="D9" i="1"/>
  <c r="D17" i="1"/>
  <c r="D25" i="1"/>
  <c r="D33" i="1"/>
  <c r="D41" i="1"/>
  <c r="D49" i="1"/>
  <c r="D57" i="1"/>
  <c r="D65" i="1"/>
  <c r="D73" i="1"/>
  <c r="D81" i="1"/>
  <c r="D5" i="1"/>
  <c r="D3" i="1"/>
  <c r="D36" i="1"/>
  <c r="D21" i="1"/>
  <c r="D2" i="1"/>
  <c r="D10" i="1"/>
  <c r="D18" i="1"/>
  <c r="D26" i="1"/>
  <c r="D34" i="1"/>
  <c r="D50" i="1"/>
  <c r="D58" i="1"/>
  <c r="D66" i="1"/>
  <c r="D74" i="1"/>
  <c r="D82" i="1"/>
  <c r="D27" i="1"/>
  <c r="D52" i="1"/>
  <c r="D42" i="1"/>
  <c r="C82" i="1"/>
  <c r="C74" i="1"/>
  <c r="C66" i="1"/>
  <c r="C58" i="1"/>
  <c r="C50" i="1"/>
  <c r="C42" i="1"/>
  <c r="C34" i="1"/>
  <c r="C26" i="1"/>
  <c r="C18" i="1"/>
  <c r="C10" i="1"/>
  <c r="C81" i="1"/>
  <c r="C57" i="1"/>
  <c r="C33" i="1"/>
  <c r="C25" i="1"/>
  <c r="C17" i="1"/>
  <c r="C9" i="1"/>
  <c r="C41" i="1"/>
  <c r="C80" i="1"/>
  <c r="C72" i="1"/>
  <c r="C64" i="1"/>
  <c r="C56" i="1"/>
  <c r="C48" i="1"/>
  <c r="C40" i="1"/>
  <c r="C32" i="1"/>
  <c r="C24" i="1"/>
  <c r="C16" i="1"/>
  <c r="C8" i="1"/>
  <c r="C79" i="1"/>
  <c r="C71" i="1"/>
  <c r="C47" i="1"/>
  <c r="C39" i="1"/>
  <c r="C23" i="1"/>
  <c r="C15" i="1"/>
  <c r="C7" i="1"/>
  <c r="C31" i="1"/>
  <c r="C49" i="1"/>
  <c r="C55" i="1"/>
  <c r="C78" i="1"/>
  <c r="C70" i="1"/>
  <c r="C54" i="1"/>
  <c r="C46" i="1"/>
  <c r="C38" i="1"/>
  <c r="C30" i="1"/>
  <c r="C22" i="1"/>
  <c r="C14" i="1"/>
  <c r="C6" i="1"/>
  <c r="C62" i="1"/>
  <c r="C65" i="1"/>
  <c r="C63" i="1"/>
  <c r="C77" i="1"/>
  <c r="C61" i="1"/>
  <c r="C53" i="1"/>
  <c r="C45" i="1"/>
  <c r="C37" i="1"/>
  <c r="C29" i="1"/>
  <c r="C21" i="1"/>
  <c r="C13" i="1"/>
  <c r="C5" i="1"/>
  <c r="C73" i="1"/>
  <c r="C69" i="1"/>
  <c r="C60" i="1"/>
  <c r="C68" i="1"/>
  <c r="C44" i="1"/>
  <c r="C36" i="1"/>
  <c r="C28" i="1"/>
  <c r="C20" i="1"/>
  <c r="C4" i="1"/>
  <c r="C76" i="1"/>
  <c r="C52" i="1"/>
  <c r="C12" i="1"/>
  <c r="C75" i="1"/>
  <c r="C67" i="1"/>
  <c r="C59" i="1"/>
  <c r="C51" i="1"/>
  <c r="C43" i="1"/>
  <c r="C35" i="1"/>
  <c r="C27" i="1"/>
  <c r="C19" i="1"/>
  <c r="C11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<sst xmlns="http://schemas.openxmlformats.org/spreadsheetml/2006/main" count="28" uniqueCount="27">
  <si>
    <t>Re</t>
  </si>
  <si>
    <t>rho.</t>
  </si>
  <si>
    <t>mu.</t>
  </si>
  <si>
    <t>L.</t>
  </si>
  <si>
    <t>D.</t>
  </si>
  <si>
    <t>Q.</t>
  </si>
  <si>
    <t>V.</t>
  </si>
  <si>
    <t>kg/m3</t>
  </si>
  <si>
    <t>Pa s</t>
  </si>
  <si>
    <t>m</t>
  </si>
  <si>
    <t>m3/s</t>
  </si>
  <si>
    <t>Re.</t>
  </si>
  <si>
    <t>eD.</t>
  </si>
  <si>
    <t>m/s</t>
  </si>
  <si>
    <t>deltaP.</t>
  </si>
  <si>
    <t>Pa</t>
  </si>
  <si>
    <t>atm</t>
  </si>
  <si>
    <t>psi</t>
  </si>
  <si>
    <t>power.</t>
  </si>
  <si>
    <t>watts</t>
  </si>
  <si>
    <t>hp</t>
  </si>
  <si>
    <t>duration.</t>
  </si>
  <si>
    <t>s</t>
  </si>
  <si>
    <t>energy.</t>
  </si>
  <si>
    <t>J</t>
  </si>
  <si>
    <t>kWh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</si>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</sst>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9D948-6E9D-490F-8E9A-24684B998325}">
  <sheetPr codeName="Sheet1"/>
  <dimension ref="A1:D82"/>
  <sheetViews>
    <sheetView zoomScale="235" zoomScaleNormal="235" workbookViewId="0">
      <selection activeCell="C4" sqref="C4"/>
    </sheetView>
  </sheetViews>
  <sheetFormatPr defaultRowHeight="15" x14ac:dyDescent="0.25"/>
  <cols>
    <col min="3" max="3" width="42.85546875" style="1" customWidth="1"/>
    <col min="4" max="4" width="21.140625" bestFit="1" customWidth="1"/>
  </cols>
  <sheetData>
    <row r="1" spans="1:4" x14ac:dyDescent="0.25">
      <c r="B1" t="s">
        <v>0</v>
      </c>
      <c r="C1" s="1">
        <v>9.9999999999999995E-7</v>
      </c>
      <c r="D1">
        <v>5.0000000000000001E-3</v>
      </c>
    </row>
    <row r="2" spans="1:4" x14ac:dyDescent="0.25">
      <c r="A2">
        <v>-2</v>
      </c>
      <c r="B2">
        <f>10^A2</f>
        <v>0.01</v>
      </c>
      <c r="C2" s="1" cm="1">
        <f t="array" ref="C2">darcyf($B2,C$1)</f>
        <v>6399.9999999999973</v>
      </c>
      <c r="D2" s="1" cm="1">
        <f t="array" ref="D2">darcyf($B2,D$1)</f>
        <v>6399.9999999999973</v>
      </c>
    </row>
    <row r="3" spans="1:4" x14ac:dyDescent="0.25">
      <c r="A3">
        <v>-1.9</v>
      </c>
      <c r="B3">
        <f t="shared" ref="B3:B66" si="0">10^A3</f>
        <v>1.2589254117941664E-2</v>
      </c>
      <c r="C3" s="1" cm="1">
        <f t="array" ref="C3">darcyf($B3,C$1)</f>
        <v>5083.7007022354028</v>
      </c>
      <c r="D3" s="1" cm="1">
        <f t="array" ref="D3">darcyf($B3,D$1)</f>
        <v>5083.7007022354028</v>
      </c>
    </row>
    <row r="4" spans="1:4" x14ac:dyDescent="0.25">
      <c r="A4">
        <v>-1.8</v>
      </c>
      <c r="B4">
        <f t="shared" si="0"/>
        <v>1.5848931924611124E-2</v>
      </c>
      <c r="C4" s="1" cm="1">
        <f t="array" ref="C4">darcyf($B4,C$1)</f>
        <v>4038.1270046732384</v>
      </c>
      <c r="D4" s="1" cm="1">
        <f t="array" ref="D4">darcyf($B4,D$1)</f>
        <v>4038.1270046732384</v>
      </c>
    </row>
    <row r="5" spans="1:4" x14ac:dyDescent="0.25">
      <c r="A5">
        <v>-1.7</v>
      </c>
      <c r="B5">
        <f t="shared" si="0"/>
        <v>1.9952623149688792E-2</v>
      </c>
      <c r="C5" s="1" cm="1">
        <f t="array" ref="C5">darcyf($B5,C$1)</f>
        <v>3207.5982952145423</v>
      </c>
      <c r="D5" s="1" cm="1">
        <f t="array" ref="D5">darcyf($B5,D$1)</f>
        <v>3207.5982952145423</v>
      </c>
    </row>
    <row r="6" spans="1:4" x14ac:dyDescent="0.25">
      <c r="A6">
        <v>-1.6</v>
      </c>
      <c r="B6">
        <f t="shared" si="0"/>
        <v>2.511886431509578E-2</v>
      </c>
      <c r="C6" s="1" cm="1">
        <f t="array" ref="C6">darcyf($B6,C$1)</f>
        <v>2547.8858915423834</v>
      </c>
      <c r="D6" s="1" cm="1">
        <f t="array" ref="D6">darcyf($B6,D$1)</f>
        <v>2547.8858915423834</v>
      </c>
    </row>
    <row r="7" spans="1:4" x14ac:dyDescent="0.25">
      <c r="A7">
        <v>-1.5</v>
      </c>
      <c r="B7">
        <f t="shared" si="0"/>
        <v>3.1622776601683784E-2</v>
      </c>
      <c r="C7" s="1" cm="1">
        <f t="array" ref="C7">darcyf($B7,C$1)</f>
        <v>2023.8577025077627</v>
      </c>
      <c r="D7" s="1" cm="1">
        <f t="array" ref="D7">darcyf($B7,D$1)</f>
        <v>2023.8577025077627</v>
      </c>
    </row>
    <row r="8" spans="1:4" x14ac:dyDescent="0.25">
      <c r="A8">
        <v>-1.4</v>
      </c>
      <c r="B8">
        <f t="shared" si="0"/>
        <v>3.9810717055349727E-2</v>
      </c>
      <c r="C8" s="1" cm="1">
        <f t="array" ref="C8">darcyf($B8,C$1)</f>
        <v>1607.6073161661307</v>
      </c>
      <c r="D8" s="1" cm="1">
        <f t="array" ref="D8">darcyf($B8,D$1)</f>
        <v>1607.6073161661307</v>
      </c>
    </row>
    <row r="9" spans="1:4" x14ac:dyDescent="0.25">
      <c r="A9">
        <v>-1.2999999999999998</v>
      </c>
      <c r="B9">
        <f t="shared" si="0"/>
        <v>5.0118723362727227E-2</v>
      </c>
      <c r="C9" s="1" cm="1">
        <f t="array" ref="C9">darcyf($B9,C$1)</f>
        <v>1276.9678815800826</v>
      </c>
      <c r="D9" s="1" cm="1">
        <f t="array" ref="D9">darcyf($B9,D$1)</f>
        <v>1276.9678815800826</v>
      </c>
    </row>
    <row r="10" spans="1:4" x14ac:dyDescent="0.25">
      <c r="A10">
        <v>-1.2</v>
      </c>
      <c r="B10">
        <f t="shared" si="0"/>
        <v>6.3095734448019317E-2</v>
      </c>
      <c r="C10" s="1" cm="1">
        <f t="array" ref="C10">darcyf($B10,C$1)</f>
        <v>1014.3316431751125</v>
      </c>
      <c r="D10" s="1" cm="1">
        <f t="array" ref="D10">darcyf($B10,D$1)</f>
        <v>1014.3316431751125</v>
      </c>
    </row>
    <row r="11" spans="1:4" x14ac:dyDescent="0.25">
      <c r="A11">
        <v>-1.1000000000000001</v>
      </c>
      <c r="B11">
        <f t="shared" si="0"/>
        <v>7.9432823472428096E-2</v>
      </c>
      <c r="C11" s="1" cm="1">
        <f t="array" ref="C11">darcyf($B11,C$1)</f>
        <v>805.71226354826729</v>
      </c>
      <c r="D11" s="1" cm="1">
        <f t="array" ref="D11">darcyf($B11,D$1)</f>
        <v>805.71226354826729</v>
      </c>
    </row>
    <row r="12" spans="1:4" x14ac:dyDescent="0.25">
      <c r="A12">
        <v>-1</v>
      </c>
      <c r="B12">
        <f t="shared" si="0"/>
        <v>0.1</v>
      </c>
      <c r="C12" s="1" cm="1">
        <f t="array" ref="C12">darcyf($B12,C$1)</f>
        <v>639.99999999999989</v>
      </c>
      <c r="D12" s="1" cm="1">
        <f t="array" ref="D12">darcyf($B12,D$1)</f>
        <v>639.99999999999989</v>
      </c>
    </row>
    <row r="13" spans="1:4" x14ac:dyDescent="0.25">
      <c r="A13">
        <v>-0.89999999999999991</v>
      </c>
      <c r="B13">
        <f t="shared" si="0"/>
        <v>0.12589254117941673</v>
      </c>
      <c r="C13" s="1" cm="1">
        <f t="array" ref="C13">darcyf($B13,C$1)</f>
        <v>508.37007022354004</v>
      </c>
      <c r="D13" s="1" cm="1">
        <f t="array" ref="D13">darcyf($B13,D$1)</f>
        <v>508.37007022354004</v>
      </c>
    </row>
    <row r="14" spans="1:4" x14ac:dyDescent="0.25">
      <c r="A14">
        <v>-0.79999999999999982</v>
      </c>
      <c r="B14">
        <f t="shared" si="0"/>
        <v>0.1584893192461114</v>
      </c>
      <c r="C14" s="1" cm="1">
        <f t="array" ref="C14">darcyf($B14,C$1)</f>
        <v>403.81270046732345</v>
      </c>
      <c r="D14" s="1" cm="1">
        <f t="array" ref="D14">darcyf($B14,D$1)</f>
        <v>403.81270046732345</v>
      </c>
    </row>
    <row r="15" spans="1:4" x14ac:dyDescent="0.25">
      <c r="A15">
        <v>-0.7</v>
      </c>
      <c r="B15">
        <f t="shared" si="0"/>
        <v>0.19952623149688795</v>
      </c>
      <c r="C15" s="1" cm="1">
        <f t="array" ref="C15">darcyf($B15,C$1)</f>
        <v>320.75982952145421</v>
      </c>
      <c r="D15" s="1" cm="1">
        <f t="array" ref="D15">darcyf($B15,D$1)</f>
        <v>320.75982952145421</v>
      </c>
    </row>
    <row r="16" spans="1:4" x14ac:dyDescent="0.25">
      <c r="A16">
        <v>-0.59999999999999987</v>
      </c>
      <c r="B16">
        <f t="shared" si="0"/>
        <v>0.25118864315095807</v>
      </c>
      <c r="C16" s="1" cm="1">
        <f t="array" ref="C16">darcyf($B16,C$1)</f>
        <v>254.78858915423814</v>
      </c>
      <c r="D16" s="1" cm="1">
        <f t="array" ref="D16">darcyf($B16,D$1)</f>
        <v>254.78858915423814</v>
      </c>
    </row>
    <row r="17" spans="1:4" x14ac:dyDescent="0.25">
      <c r="A17">
        <v>-0.5</v>
      </c>
      <c r="B17">
        <f t="shared" si="0"/>
        <v>0.31622776601683794</v>
      </c>
      <c r="C17" s="1" cm="1">
        <f t="array" ref="C17">darcyf($B17,C$1)</f>
        <v>202.38577025077623</v>
      </c>
      <c r="D17" s="1" cm="1">
        <f t="array" ref="D17">darcyf($B17,D$1)</f>
        <v>202.38577025077623</v>
      </c>
    </row>
    <row r="18" spans="1:4" x14ac:dyDescent="0.25">
      <c r="A18">
        <v>-0.39999999999999991</v>
      </c>
      <c r="B18">
        <f t="shared" si="0"/>
        <v>0.39810717055349731</v>
      </c>
      <c r="C18" s="1" cm="1">
        <f t="array" ref="C18">darcyf($B18,C$1)</f>
        <v>160.76073161661307</v>
      </c>
      <c r="D18" s="1" cm="1">
        <f t="array" ref="D18">darcyf($B18,D$1)</f>
        <v>160.76073161661307</v>
      </c>
    </row>
    <row r="19" spans="1:4" x14ac:dyDescent="0.25">
      <c r="A19">
        <v>-0.29999999999999982</v>
      </c>
      <c r="B19">
        <f t="shared" si="0"/>
        <v>0.50118723362727247</v>
      </c>
      <c r="C19" s="1" cm="1">
        <f t="array" ref="C19">darcyf($B19,C$1)</f>
        <v>127.69678815800823</v>
      </c>
      <c r="D19" s="1" cm="1">
        <f t="array" ref="D19">darcyf($B19,D$1)</f>
        <v>127.69678815800823</v>
      </c>
    </row>
    <row r="20" spans="1:4" x14ac:dyDescent="0.25">
      <c r="A20">
        <v>-0.19999999999999996</v>
      </c>
      <c r="B20">
        <f t="shared" si="0"/>
        <v>0.63095734448019325</v>
      </c>
      <c r="C20" s="1" cm="1">
        <f t="array" ref="C20">darcyf($B20,C$1)</f>
        <v>101.43316431751124</v>
      </c>
      <c r="D20" s="1" cm="1">
        <f t="array" ref="D20">darcyf($B20,D$1)</f>
        <v>101.43316431751124</v>
      </c>
    </row>
    <row r="21" spans="1:4" x14ac:dyDescent="0.25">
      <c r="A21">
        <v>-9.9999999999999867E-2</v>
      </c>
      <c r="B21">
        <f t="shared" si="0"/>
        <v>0.79432823472428171</v>
      </c>
      <c r="C21" s="1" cm="1">
        <f t="array" ref="C21">darcyf($B21,C$1)</f>
        <v>80.571226354826663</v>
      </c>
      <c r="D21" s="1" cm="1">
        <f t="array" ref="D21">darcyf($B21,D$1)</f>
        <v>80.571226354826663</v>
      </c>
    </row>
    <row r="22" spans="1:4" x14ac:dyDescent="0.25">
      <c r="A22">
        <v>0</v>
      </c>
      <c r="B22">
        <f t="shared" si="0"/>
        <v>1</v>
      </c>
      <c r="C22" s="1" cm="1">
        <f t="array" ref="C22">darcyf($B22,C$1)</f>
        <v>63.999999999999993</v>
      </c>
      <c r="D22" s="1" cm="1">
        <f t="array" ref="D22">darcyf($B22,D$1)</f>
        <v>63.999999999999993</v>
      </c>
    </row>
    <row r="23" spans="1:4" x14ac:dyDescent="0.25">
      <c r="A23">
        <v>0.10000000000000009</v>
      </c>
      <c r="B23">
        <f t="shared" si="0"/>
        <v>1.2589254117941675</v>
      </c>
      <c r="C23" s="1" cm="1">
        <f t="array" ref="C23">darcyf($B23,C$1)</f>
        <v>50.837007022353994</v>
      </c>
      <c r="D23" s="1" cm="1">
        <f t="array" ref="D23">darcyf($B23,D$1)</f>
        <v>50.837007022353994</v>
      </c>
    </row>
    <row r="24" spans="1:4" x14ac:dyDescent="0.25">
      <c r="A24">
        <v>0.20000000000000018</v>
      </c>
      <c r="B24">
        <f t="shared" si="0"/>
        <v>1.5848931924611143</v>
      </c>
      <c r="C24" s="1" cm="1">
        <f t="array" ref="C24">darcyf($B24,C$1)</f>
        <v>40.381270046732347</v>
      </c>
      <c r="D24" s="1" cm="1">
        <f t="array" ref="D24">darcyf($B24,D$1)</f>
        <v>40.381270046732347</v>
      </c>
    </row>
    <row r="25" spans="1:4" x14ac:dyDescent="0.25">
      <c r="A25">
        <v>0.30000000000000027</v>
      </c>
      <c r="B25">
        <f t="shared" si="0"/>
        <v>1.9952623149688811</v>
      </c>
      <c r="C25" s="1" cm="1">
        <f t="array" ref="C25">darcyf($B25,C$1)</f>
        <v>32.075982952145402</v>
      </c>
      <c r="D25" s="1" cm="1">
        <f t="array" ref="D25">darcyf($B25,D$1)</f>
        <v>32.075982952145402</v>
      </c>
    </row>
    <row r="26" spans="1:4" x14ac:dyDescent="0.25">
      <c r="A26">
        <v>0.40000000000000036</v>
      </c>
      <c r="B26">
        <f t="shared" si="0"/>
        <v>2.5118864315095824</v>
      </c>
      <c r="C26" s="1" cm="1">
        <f t="array" ref="C26">darcyf($B26,C$1)</f>
        <v>25.478858915423796</v>
      </c>
      <c r="D26" s="1" cm="1">
        <f t="array" ref="D26">darcyf($B26,D$1)</f>
        <v>25.478858915423796</v>
      </c>
    </row>
    <row r="27" spans="1:4" x14ac:dyDescent="0.25">
      <c r="A27">
        <v>0.5</v>
      </c>
      <c r="B27">
        <f t="shared" si="0"/>
        <v>3.1622776601683795</v>
      </c>
      <c r="C27" s="1" cm="1">
        <f t="array" ref="C27">darcyf($B27,C$1)</f>
        <v>20.238577025077628</v>
      </c>
      <c r="D27" s="1" cm="1">
        <f t="array" ref="D27">darcyf($B27,D$1)</f>
        <v>20.238577025077628</v>
      </c>
    </row>
    <row r="28" spans="1:4" x14ac:dyDescent="0.25">
      <c r="A28">
        <v>0.60000000000000009</v>
      </c>
      <c r="B28">
        <f t="shared" si="0"/>
        <v>3.9810717055349736</v>
      </c>
      <c r="C28" s="1" cm="1">
        <f t="array" ref="C28">darcyf($B28,C$1)</f>
        <v>16.076073161661309</v>
      </c>
      <c r="D28" s="1" cm="1">
        <f t="array" ref="D28">darcyf($B28,D$1)</f>
        <v>16.076073161661309</v>
      </c>
    </row>
    <row r="29" spans="1:4" x14ac:dyDescent="0.25">
      <c r="A29">
        <v>0.70000000000000018</v>
      </c>
      <c r="B29">
        <f t="shared" si="0"/>
        <v>5.0118723362727264</v>
      </c>
      <c r="C29" s="1" cm="1">
        <f t="array" ref="C29">darcyf($B29,C$1)</f>
        <v>12.76967881580082</v>
      </c>
      <c r="D29" s="1" cm="1">
        <f t="array" ref="D29">darcyf($B29,D$1)</f>
        <v>12.76967881580082</v>
      </c>
    </row>
    <row r="30" spans="1:4" x14ac:dyDescent="0.25">
      <c r="A30">
        <v>0.80000000000000027</v>
      </c>
      <c r="B30">
        <f t="shared" si="0"/>
        <v>6.3095734448019378</v>
      </c>
      <c r="C30" s="1" cm="1">
        <f t="array" ref="C30">darcyf($B30,C$1)</f>
        <v>10.143316431751117</v>
      </c>
      <c r="D30" s="1" cm="1">
        <f t="array" ref="D30">darcyf($B30,D$1)</f>
        <v>10.143316431751117</v>
      </c>
    </row>
    <row r="31" spans="1:4" x14ac:dyDescent="0.25">
      <c r="A31">
        <v>0.90000000000000036</v>
      </c>
      <c r="B31">
        <f t="shared" si="0"/>
        <v>7.9432823472428247</v>
      </c>
      <c r="C31" s="1" cm="1">
        <f t="array" ref="C31">darcyf($B31,C$1)</f>
        <v>8.0571226354826599</v>
      </c>
      <c r="D31" s="1" cm="1">
        <f t="array" ref="D31">darcyf($B31,D$1)</f>
        <v>8.0571226354826599</v>
      </c>
    </row>
    <row r="32" spans="1:4" x14ac:dyDescent="0.25">
      <c r="A32">
        <v>1</v>
      </c>
      <c r="B32">
        <f t="shared" si="0"/>
        <v>10</v>
      </c>
      <c r="C32" s="1" cm="1">
        <f t="array" ref="C32">darcyf($B32,C$1)</f>
        <v>6.4</v>
      </c>
      <c r="D32" s="1" cm="1">
        <f t="array" ref="D32">darcyf($B32,D$1)</f>
        <v>6.4</v>
      </c>
    </row>
    <row r="33" spans="1:4" x14ac:dyDescent="0.25">
      <c r="A33">
        <v>1.1000000000000001</v>
      </c>
      <c r="B33">
        <f t="shared" si="0"/>
        <v>12.58925411794168</v>
      </c>
      <c r="C33" s="1" cm="1">
        <f t="array" ref="C33">darcyf($B33,C$1)</f>
        <v>5.0837007022353982</v>
      </c>
      <c r="D33" s="1" cm="1">
        <f t="array" ref="D33">darcyf($B33,D$1)</f>
        <v>5.0837007022353982</v>
      </c>
    </row>
    <row r="34" spans="1:4" x14ac:dyDescent="0.25">
      <c r="A34">
        <v>1.2000000000000002</v>
      </c>
      <c r="B34">
        <f t="shared" si="0"/>
        <v>15.848931924611144</v>
      </c>
      <c r="C34" s="1" cm="1">
        <f t="array" ref="C34">darcyf($B34,C$1)</f>
        <v>4.0381270046732345</v>
      </c>
      <c r="D34" s="1" cm="1">
        <f t="array" ref="D34">darcyf($B34,D$1)</f>
        <v>4.0381270046732345</v>
      </c>
    </row>
    <row r="35" spans="1:4" x14ac:dyDescent="0.25">
      <c r="A35">
        <v>1.3000000000000003</v>
      </c>
      <c r="B35">
        <f t="shared" si="0"/>
        <v>19.952623149688815</v>
      </c>
      <c r="C35" s="1" cm="1">
        <f t="array" ref="C35">darcyf($B35,C$1)</f>
        <v>3.2075982952145394</v>
      </c>
      <c r="D35" s="1" cm="1">
        <f t="array" ref="D35">darcyf($B35,D$1)</f>
        <v>3.2075982952145394</v>
      </c>
    </row>
    <row r="36" spans="1:4" x14ac:dyDescent="0.25">
      <c r="A36">
        <v>1.4000000000000004</v>
      </c>
      <c r="B36">
        <f t="shared" si="0"/>
        <v>25.118864315095834</v>
      </c>
      <c r="C36" s="1" cm="1">
        <f t="array" ref="C36">darcyf($B36,C$1)</f>
        <v>2.547885891542379</v>
      </c>
      <c r="D36" s="1" cm="1">
        <f t="array" ref="D36">darcyf($B36,D$1)</f>
        <v>2.547885891542379</v>
      </c>
    </row>
    <row r="37" spans="1:4" x14ac:dyDescent="0.25">
      <c r="A37">
        <v>1.5</v>
      </c>
      <c r="B37">
        <f t="shared" si="0"/>
        <v>31.622776601683803</v>
      </c>
      <c r="C37" s="1" cm="1">
        <f t="array" ref="C37">darcyf($B37,C$1)</f>
        <v>2.0238577025077622</v>
      </c>
      <c r="D37" s="1" cm="1">
        <f t="array" ref="D37">darcyf($B37,D$1)</f>
        <v>2.0238577025077622</v>
      </c>
    </row>
    <row r="38" spans="1:4" x14ac:dyDescent="0.25">
      <c r="A38">
        <v>1.6</v>
      </c>
      <c r="B38">
        <f t="shared" si="0"/>
        <v>39.810717055349755</v>
      </c>
      <c r="C38" s="1" cm="1">
        <f t="array" ref="C38">darcyf($B38,C$1)</f>
        <v>1.6076073161661302</v>
      </c>
      <c r="D38" s="1" cm="1">
        <f t="array" ref="D38">darcyf($B38,D$1)</f>
        <v>1.6076073161661302</v>
      </c>
    </row>
    <row r="39" spans="1:4" x14ac:dyDescent="0.25">
      <c r="A39">
        <v>1.7000000000000002</v>
      </c>
      <c r="B39">
        <f t="shared" si="0"/>
        <v>50.118723362727259</v>
      </c>
      <c r="C39" s="1" cm="1">
        <f t="array" ref="C39">darcyf($B39,C$1)</f>
        <v>1.2769678815800825</v>
      </c>
      <c r="D39" s="1" cm="1">
        <f t="array" ref="D39">darcyf($B39,D$1)</f>
        <v>1.2769678815800825</v>
      </c>
    </row>
    <row r="40" spans="1:4" x14ac:dyDescent="0.25">
      <c r="A40">
        <v>1.8000000000000003</v>
      </c>
      <c r="B40">
        <f t="shared" si="0"/>
        <v>63.095734448019364</v>
      </c>
      <c r="C40" s="1" cm="1">
        <f t="array" ref="C40">darcyf($B40,C$1)</f>
        <v>1.0143316431751119</v>
      </c>
      <c r="D40" s="1" cm="1">
        <f t="array" ref="D40">darcyf($B40,D$1)</f>
        <v>1.0143316431751119</v>
      </c>
    </row>
    <row r="41" spans="1:4" x14ac:dyDescent="0.25">
      <c r="A41">
        <v>1.9000000000000004</v>
      </c>
      <c r="B41">
        <f t="shared" si="0"/>
        <v>79.432823472428254</v>
      </c>
      <c r="C41" s="1" cm="1">
        <f t="array" ref="C41">darcyf($B41,C$1)</f>
        <v>0.80571226354826608</v>
      </c>
      <c r="D41" s="1" cm="1">
        <f t="array" ref="D41">darcyf($B41,D$1)</f>
        <v>0.80571226354826608</v>
      </c>
    </row>
    <row r="42" spans="1:4" x14ac:dyDescent="0.25">
      <c r="A42">
        <v>2</v>
      </c>
      <c r="B42">
        <f t="shared" si="0"/>
        <v>100</v>
      </c>
      <c r="C42" s="1" cm="1">
        <f t="array" ref="C42">darcyf($B42,C$1)</f>
        <v>0.64000000000000012</v>
      </c>
      <c r="D42" s="1" cm="1">
        <f t="array" ref="D42">darcyf($B42,D$1)</f>
        <v>0.64000000000000012</v>
      </c>
    </row>
    <row r="43" spans="1:4" x14ac:dyDescent="0.25">
      <c r="A43">
        <v>2.1000000000000005</v>
      </c>
      <c r="B43">
        <f t="shared" si="0"/>
        <v>125.89254117941688</v>
      </c>
      <c r="C43" s="1" cm="1">
        <f t="array" ref="C43">darcyf($B43,C$1)</f>
        <v>0.50837007022353964</v>
      </c>
      <c r="D43" s="1" cm="1">
        <f t="array" ref="D43">darcyf($B43,D$1)</f>
        <v>0.50837007022353964</v>
      </c>
    </row>
    <row r="44" spans="1:4" x14ac:dyDescent="0.25">
      <c r="A44">
        <v>2.2000000000000002</v>
      </c>
      <c r="B44">
        <f t="shared" si="0"/>
        <v>158.48931924611153</v>
      </c>
      <c r="C44" s="1" cm="1">
        <f t="array" ref="C44">darcyf($B44,C$1)</f>
        <v>0.40381270046732326</v>
      </c>
      <c r="D44" s="1" cm="1">
        <f t="array" ref="D44">darcyf($B44,D$1)</f>
        <v>0.40381270046732326</v>
      </c>
    </row>
    <row r="45" spans="1:4" x14ac:dyDescent="0.25">
      <c r="A45">
        <v>2.2999999999999998</v>
      </c>
      <c r="B45">
        <f t="shared" si="0"/>
        <v>199.52623149688802</v>
      </c>
      <c r="C45" s="1" cm="1">
        <f t="array" ref="C45">darcyf($B45,C$1)</f>
        <v>0.32075982952145421</v>
      </c>
      <c r="D45" s="1" cm="1">
        <f t="array" ref="D45">darcyf($B45,D$1)</f>
        <v>0.32075982952145421</v>
      </c>
    </row>
    <row r="46" spans="1:4" x14ac:dyDescent="0.25">
      <c r="A46">
        <v>2.4000000000000004</v>
      </c>
      <c r="B46">
        <f t="shared" si="0"/>
        <v>251.18864315095828</v>
      </c>
      <c r="C46" s="1" cm="1">
        <f t="array" ref="C46">darcyf($B46,C$1)</f>
        <v>0.25478858915423802</v>
      </c>
      <c r="D46" s="1" cm="1">
        <f t="array" ref="D46">darcyf($B46,D$1)</f>
        <v>0.25478858915423802</v>
      </c>
    </row>
    <row r="47" spans="1:4" x14ac:dyDescent="0.25">
      <c r="A47">
        <v>2.5</v>
      </c>
      <c r="B47">
        <f t="shared" si="0"/>
        <v>316.22776601683825</v>
      </c>
      <c r="C47" s="1" cm="1">
        <f t="array" ref="C47">darcyf($B47,C$1)</f>
        <v>0.20238577025077611</v>
      </c>
      <c r="D47" s="1" cm="1">
        <f t="array" ref="D47">darcyf($B47,D$1)</f>
        <v>0.20238577025077611</v>
      </c>
    </row>
    <row r="48" spans="1:4" x14ac:dyDescent="0.25">
      <c r="A48">
        <v>2.6000000000000005</v>
      </c>
      <c r="B48">
        <f t="shared" si="0"/>
        <v>398.10717055349795</v>
      </c>
      <c r="C48" s="1" cm="1">
        <f t="array" ref="C48">darcyf($B48,C$1)</f>
        <v>0.16076073161661286</v>
      </c>
      <c r="D48" s="1" cm="1">
        <f t="array" ref="D48">darcyf($B48,D$1)</f>
        <v>0.16076073161661286</v>
      </c>
    </row>
    <row r="49" spans="1:4" x14ac:dyDescent="0.25">
      <c r="A49">
        <v>2.7</v>
      </c>
      <c r="B49">
        <f t="shared" si="0"/>
        <v>501.18723362727269</v>
      </c>
      <c r="C49" s="1" cm="1">
        <f t="array" ref="C49">darcyf($B49,C$1)</f>
        <v>0.12769678815800822</v>
      </c>
      <c r="D49" s="1" cm="1">
        <f t="array" ref="D49">darcyf($B49,D$1)</f>
        <v>0.12769678815800822</v>
      </c>
    </row>
    <row r="50" spans="1:4" x14ac:dyDescent="0.25">
      <c r="A50">
        <v>2.8000000000000007</v>
      </c>
      <c r="B50">
        <f t="shared" si="0"/>
        <v>630.95734448019482</v>
      </c>
      <c r="C50" s="1" cm="1">
        <f t="array" ref="C50">darcyf($B50,C$1)</f>
        <v>0.10143316431751104</v>
      </c>
      <c r="D50" s="1" cm="1">
        <f t="array" ref="D50">darcyf($B50,D$1)</f>
        <v>0.10143316431751104</v>
      </c>
    </row>
    <row r="51" spans="1:4" x14ac:dyDescent="0.25">
      <c r="A51">
        <v>2.9000000000000004</v>
      </c>
      <c r="B51">
        <f t="shared" si="0"/>
        <v>794.32823472428277</v>
      </c>
      <c r="C51" s="1" cm="1">
        <f t="array" ref="C51">darcyf($B51,C$1)</f>
        <v>8.0571226354826581E-2</v>
      </c>
      <c r="D51" s="1" cm="1">
        <f t="array" ref="D51">darcyf($B51,D$1)</f>
        <v>8.0571226354826581E-2</v>
      </c>
    </row>
    <row r="52" spans="1:4" x14ac:dyDescent="0.25">
      <c r="A52">
        <v>3</v>
      </c>
      <c r="B52">
        <f t="shared" si="0"/>
        <v>1000</v>
      </c>
      <c r="C52" s="1" cm="1">
        <f t="array" ref="C52">darcyf($B52,C$1)</f>
        <v>6.4000000000001292E-2</v>
      </c>
      <c r="D52" s="1" cm="1">
        <f t="array" ref="D52">darcyf($B52,D$1)</f>
        <v>6.4000000000001292E-2</v>
      </c>
    </row>
    <row r="53" spans="1:4" x14ac:dyDescent="0.25">
      <c r="A53">
        <v>3.1000000000000005</v>
      </c>
      <c r="B53">
        <f t="shared" si="0"/>
        <v>1258.9254117941691</v>
      </c>
      <c r="C53" s="1" cm="1">
        <f t="array" ref="C53">darcyf($B53,C$1)</f>
        <v>5.0837007026379583E-2</v>
      </c>
      <c r="D53" s="1" cm="1">
        <f t="array" ref="D53">darcyf($B53,D$1)</f>
        <v>5.0837007026379583E-2</v>
      </c>
    </row>
    <row r="54" spans="1:4" x14ac:dyDescent="0.25">
      <c r="A54">
        <v>3.2</v>
      </c>
      <c r="B54">
        <f t="shared" si="0"/>
        <v>1584.8931924611156</v>
      </c>
      <c r="C54" s="1" cm="1">
        <f t="array" ref="C54">darcyf($B54,C$1)</f>
        <v>4.0381282776498294E-2</v>
      </c>
      <c r="D54" s="1" cm="1">
        <f t="array" ref="D54">darcyf($B54,D$1)</f>
        <v>4.0381282776648202E-2</v>
      </c>
    </row>
    <row r="55" spans="1:4" x14ac:dyDescent="0.25">
      <c r="A55">
        <v>3.3000000000000007</v>
      </c>
      <c r="B55">
        <f t="shared" si="0"/>
        <v>1995.2623149688841</v>
      </c>
      <c r="C55" s="1" cm="1">
        <f t="array" ref="C55">darcyf($B55,C$1)</f>
        <v>3.2115877985641E-2</v>
      </c>
      <c r="D55" s="1" cm="1">
        <f t="array" ref="D55">darcyf($B55,D$1)</f>
        <v>3.2115918329917698E-2</v>
      </c>
    </row>
    <row r="56" spans="1:4" x14ac:dyDescent="0.25">
      <c r="A56">
        <v>3.4000000000000004</v>
      </c>
      <c r="B56">
        <f t="shared" si="0"/>
        <v>2511.8864315095834</v>
      </c>
      <c r="C56" s="1" cm="1">
        <f t="array" ref="C56">darcyf($B56,C$1)</f>
        <v>3.5433301293582763E-2</v>
      </c>
      <c r="D56" s="1" cm="1">
        <f t="array" ref="D56">darcyf($B56,D$1)</f>
        <v>3.5662783908854807E-2</v>
      </c>
    </row>
    <row r="57" spans="1:4" x14ac:dyDescent="0.25">
      <c r="A57">
        <v>3.5</v>
      </c>
      <c r="B57">
        <f t="shared" si="0"/>
        <v>3162.2776601683804</v>
      </c>
      <c r="C57" s="1" cm="1">
        <f t="array" ref="C57">darcyf($B57,C$1)</f>
        <v>4.3142533291237121E-2</v>
      </c>
      <c r="D57" s="1" cm="1">
        <f t="array" ref="D57">darcyf($B57,D$1)</f>
        <v>4.7171904772948338E-2</v>
      </c>
    </row>
    <row r="58" spans="1:4" x14ac:dyDescent="0.25">
      <c r="A58">
        <v>3.6000000000000005</v>
      </c>
      <c r="B58">
        <f t="shared" si="0"/>
        <v>3981.0717055349769</v>
      </c>
      <c r="C58" s="1" cm="1">
        <f t="array" ref="C58">darcyf($B58,C$1)</f>
        <v>4.0650878485749269E-2</v>
      </c>
      <c r="D58" s="1" cm="1">
        <f t="array" ref="D58">darcyf($B58,D$1)</f>
        <v>4.5971068616711699E-2</v>
      </c>
    </row>
    <row r="59" spans="1:4" x14ac:dyDescent="0.25">
      <c r="A59">
        <v>3.7</v>
      </c>
      <c r="B59">
        <f t="shared" si="0"/>
        <v>5011.8723362727324</v>
      </c>
      <c r="C59" s="1" cm="1">
        <f t="array" ref="C59">darcyf($B59,C$1)</f>
        <v>3.7861196127353017E-2</v>
      </c>
      <c r="D59" s="1" cm="1">
        <f t="array" ref="D59">darcyf($B59,D$1)</f>
        <v>4.3645181409846995E-2</v>
      </c>
    </row>
    <row r="60" spans="1:4" x14ac:dyDescent="0.25">
      <c r="A60">
        <v>3.8000000000000007</v>
      </c>
      <c r="B60">
        <f t="shared" si="0"/>
        <v>6309.5734448019502</v>
      </c>
      <c r="C60" s="1" cm="1">
        <f t="array" ref="C60">darcyf($B60,C$1)</f>
        <v>3.5342282868803504E-2</v>
      </c>
      <c r="D60" s="1" cm="1">
        <f t="array" ref="D60">darcyf($B60,D$1)</f>
        <v>4.1609678433592916E-2</v>
      </c>
    </row>
    <row r="61" spans="1:4" x14ac:dyDescent="0.25">
      <c r="A61">
        <v>3.9000000000000004</v>
      </c>
      <c r="B61">
        <f t="shared" si="0"/>
        <v>7943.2823472428299</v>
      </c>
      <c r="C61" s="1" cm="1">
        <f t="array" ref="C61">darcyf($B61,C$1)</f>
        <v>3.3066598860824505E-2</v>
      </c>
      <c r="D61" s="1" cm="1">
        <f t="array" ref="D61">darcyf($B61,D$1)</f>
        <v>3.9852427905374257E-2</v>
      </c>
    </row>
    <row r="62" spans="1:4" x14ac:dyDescent="0.25">
      <c r="A62">
        <v>4</v>
      </c>
      <c r="B62">
        <f t="shared" si="0"/>
        <v>10000</v>
      </c>
      <c r="C62" s="1" cm="1">
        <f t="array" ref="C62">darcyf($B62,C$1)</f>
        <v>3.1003899665787302E-2</v>
      </c>
      <c r="D62" s="1" cm="1">
        <f t="array" ref="D62">darcyf($B62,D$1)</f>
        <v>3.8340971395092099E-2</v>
      </c>
    </row>
    <row r="63" spans="1:4" x14ac:dyDescent="0.25">
      <c r="A63">
        <v>4.1000000000000005</v>
      </c>
      <c r="B63">
        <f t="shared" si="0"/>
        <v>12589.254117941693</v>
      </c>
      <c r="C63" s="1" cm="1">
        <f t="array" ref="C63">darcyf($B63,C$1)</f>
        <v>2.912842507502313E-2</v>
      </c>
      <c r="D63" s="1" cm="1">
        <f t="array" ref="D63">darcyf($B63,D$1)</f>
        <v>3.7046148512827955E-2</v>
      </c>
    </row>
    <row r="64" spans="1:4" x14ac:dyDescent="0.25">
      <c r="A64">
        <v>4.2</v>
      </c>
      <c r="B64">
        <f t="shared" si="0"/>
        <v>15848.931924611146</v>
      </c>
      <c r="C64" s="1" cm="1">
        <f t="array" ref="C64">darcyf($B64,C$1)</f>
        <v>2.7418196246541193E-2</v>
      </c>
      <c r="D64" s="1" cm="1">
        <f t="array" ref="D64">darcyf($B64,D$1)</f>
        <v>3.5941772791487997E-2</v>
      </c>
    </row>
    <row r="65" spans="1:4" x14ac:dyDescent="0.25">
      <c r="A65">
        <v>4.3000000000000007</v>
      </c>
      <c r="B65">
        <f t="shared" si="0"/>
        <v>19952.623149688861</v>
      </c>
      <c r="C65" s="1" cm="1">
        <f t="array" ref="C65">darcyf($B65,C$1)</f>
        <v>2.585436977167441E-2</v>
      </c>
      <c r="D65" s="1" cm="1">
        <f t="array" ref="D65">darcyf($B65,D$1)</f>
        <v>3.5004160618392531E-2</v>
      </c>
    </row>
    <row r="66" spans="1:4" x14ac:dyDescent="0.25">
      <c r="A66">
        <v>4.4000000000000004</v>
      </c>
      <c r="B66">
        <f t="shared" si="0"/>
        <v>25118.86431509586</v>
      </c>
      <c r="C66" s="1" cm="1">
        <f t="array" ref="C66">darcyf($B66,C$1)</f>
        <v>2.4420716277490331E-2</v>
      </c>
      <c r="D66" s="1" cm="1">
        <f t="array" ref="D66">darcyf($B66,D$1)</f>
        <v>3.4211830524807536E-2</v>
      </c>
    </row>
    <row r="67" spans="1:4" x14ac:dyDescent="0.25">
      <c r="A67">
        <v>4.5</v>
      </c>
      <c r="B67">
        <f t="shared" ref="B67:B82" si="1">10^A67</f>
        <v>31622.77660168384</v>
      </c>
      <c r="C67" s="1" cm="1">
        <f t="array" ref="C67">darcyf($B67,C$1)</f>
        <v>2.3103197557982486E-2</v>
      </c>
      <c r="D67" s="1" cm="1">
        <f t="array" ref="D67">darcyf($B67,D$1)</f>
        <v>3.3545324834140744E-2</v>
      </c>
    </row>
    <row r="68" spans="1:4" x14ac:dyDescent="0.25">
      <c r="A68">
        <v>4.6000000000000005</v>
      </c>
      <c r="B68">
        <f t="shared" si="1"/>
        <v>39810.717055349814</v>
      </c>
      <c r="C68" s="1" cm="1">
        <f t="array" ref="C68">darcyf($B68,C$1)</f>
        <v>2.1889621518951262E-2</v>
      </c>
      <c r="D68" s="1" cm="1">
        <f t="array" ref="D68">darcyf($B68,D$1)</f>
        <v>3.2987104408595279E-2</v>
      </c>
    </row>
    <row r="69" spans="1:4" x14ac:dyDescent="0.25">
      <c r="A69">
        <v>4.7</v>
      </c>
      <c r="B69">
        <f t="shared" si="1"/>
        <v>50118.723362727294</v>
      </c>
      <c r="C69" s="1" cm="1">
        <f t="array" ref="C69">darcyf($B69,C$1)</f>
        <v>2.0769359008802255E-2</v>
      </c>
      <c r="D69" s="1" cm="1">
        <f t="array" ref="D69">darcyf($B69,D$1)</f>
        <v>3.2521475925210888E-2</v>
      </c>
    </row>
    <row r="70" spans="1:4" x14ac:dyDescent="0.25">
      <c r="A70">
        <v>4.8000000000000007</v>
      </c>
      <c r="B70">
        <f t="shared" si="1"/>
        <v>63095.734448019459</v>
      </c>
      <c r="C70" s="1" cm="1">
        <f t="array" ref="C70">darcyf($B70,C$1)</f>
        <v>1.9733110190184876E-2</v>
      </c>
      <c r="D70" s="1" cm="1">
        <f t="array" ref="D70">darcyf($B70,D$1)</f>
        <v>3.2134522666701304E-2</v>
      </c>
    </row>
    <row r="71" spans="1:4" x14ac:dyDescent="0.25">
      <c r="A71">
        <v>4.9000000000000004</v>
      </c>
      <c r="B71">
        <f t="shared" si="1"/>
        <v>79432.823472428237</v>
      </c>
      <c r="C71" s="1" cm="1">
        <f t="array" ref="C71">darcyf($B71,C$1)</f>
        <v>1.8772710815067189E-2</v>
      </c>
      <c r="D71" s="1" cm="1">
        <f t="array" ref="D71">darcyf($B71,D$1)</f>
        <v>3.1814021840273689E-2</v>
      </c>
    </row>
    <row r="72" spans="1:4" x14ac:dyDescent="0.25">
      <c r="A72">
        <v>5</v>
      </c>
      <c r="B72">
        <f t="shared" si="1"/>
        <v>100000</v>
      </c>
      <c r="C72" s="1" cm="1">
        <f t="array" ref="C72">darcyf($B72,C$1)</f>
        <v>1.7880970829875827E-2</v>
      </c>
      <c r="D72" s="1" cm="1">
        <f t="array" ref="D72">darcyf($B72,D$1)</f>
        <v>3.1549341822008109E-2</v>
      </c>
    </row>
    <row r="73" spans="1:4" x14ac:dyDescent="0.25">
      <c r="A73">
        <v>5.1000000000000005</v>
      </c>
      <c r="B73">
        <f t="shared" si="1"/>
        <v>125892.54117941708</v>
      </c>
      <c r="C73" s="1" cm="1">
        <f t="array" ref="C73">darcyf($B73,C$1)</f>
        <v>1.7051539322489821E-2</v>
      </c>
      <c r="D73" s="1" cm="1">
        <f t="array" ref="D73">darcyf($B73,D$1)</f>
        <v>3.1331320218984965E-2</v>
      </c>
    </row>
    <row r="74" spans="1:4" x14ac:dyDescent="0.25">
      <c r="A74">
        <v>5.2</v>
      </c>
      <c r="B74">
        <f t="shared" si="1"/>
        <v>158489.31924611164</v>
      </c>
      <c r="C74" s="1" cm="1">
        <f t="array" ref="C74">darcyf($B74,C$1)</f>
        <v>1.627879104875957E-2</v>
      </c>
      <c r="D74" s="1" cm="1">
        <f t="array" ref="D74">darcyf($B74,D$1)</f>
        <v>3.1152127995549731E-2</v>
      </c>
    </row>
    <row r="75" spans="1:4" x14ac:dyDescent="0.25">
      <c r="A75">
        <v>5.3000000000000007</v>
      </c>
      <c r="B75">
        <f t="shared" si="1"/>
        <v>199526.2314968885</v>
      </c>
      <c r="C75" s="1" cm="1">
        <f t="array" ref="C75">darcyf($B75,C$1)</f>
        <v>1.5557730730539877E-2</v>
      </c>
      <c r="D75" s="1" cm="1">
        <f t="array" ref="D75">darcyf($B75,D$1)</f>
        <v>3.1005126601404039E-2</v>
      </c>
    </row>
    <row r="76" spans="1:4" x14ac:dyDescent="0.25">
      <c r="A76">
        <v>5.4</v>
      </c>
      <c r="B76">
        <f t="shared" si="1"/>
        <v>251188.64315095844</v>
      </c>
      <c r="C76" s="1" cm="1">
        <f t="array" ref="C76">darcyf($B76,C$1)</f>
        <v>1.4883912064824426E-2</v>
      </c>
      <c r="D76" s="1" cm="1">
        <f t="array" ref="D76">darcyf($B76,D$1)</f>
        <v>3.0884724877975698E-2</v>
      </c>
    </row>
    <row r="77" spans="1:4" x14ac:dyDescent="0.25">
      <c r="A77">
        <v>5.5</v>
      </c>
      <c r="B77">
        <f t="shared" si="1"/>
        <v>316227.7660168382</v>
      </c>
      <c r="C77" s="1" cm="1">
        <f t="array" ref="C77">darcyf($B77,C$1)</f>
        <v>1.4253368972731531E-2</v>
      </c>
      <c r="D77" s="1" cm="1">
        <f t="array" ref="D77">darcyf($B77,D$1)</f>
        <v>3.0786241323360577E-2</v>
      </c>
    </row>
    <row r="78" spans="1:4" x14ac:dyDescent="0.25">
      <c r="A78">
        <v>5.6000000000000005</v>
      </c>
      <c r="B78">
        <f t="shared" si="1"/>
        <v>398107.17055349785</v>
      </c>
      <c r="C78" s="1" cm="1">
        <f t="array" ref="C78">darcyf($B78,C$1)</f>
        <v>1.3662557084001948E-2</v>
      </c>
      <c r="D78" s="1" cm="1">
        <f t="array" ref="D78">darcyf($B78,D$1)</f>
        <v>3.0705775708804461E-2</v>
      </c>
    </row>
    <row r="79" spans="1:4" x14ac:dyDescent="0.25">
      <c r="A79">
        <v>5.7</v>
      </c>
      <c r="B79">
        <f t="shared" si="1"/>
        <v>501187.23362727347</v>
      </c>
      <c r="C79" s="1" cm="1">
        <f t="array" ref="C79">darcyf($B79,C$1)</f>
        <v>1.3108303824584642E-2</v>
      </c>
      <c r="D79" s="1" cm="1">
        <f t="array" ref="D79">darcyf($B79,D$1)</f>
        <v>3.0640092479203802E-2</v>
      </c>
    </row>
    <row r="80" spans="1:4" x14ac:dyDescent="0.25">
      <c r="A80">
        <v>5.8000000000000007</v>
      </c>
      <c r="B80">
        <f t="shared" si="1"/>
        <v>630957.34448019532</v>
      </c>
      <c r="C80" s="1" cm="1">
        <f t="array" ref="C80">darcyf($B80,C$1)</f>
        <v>1.2587765772416522E-2</v>
      </c>
      <c r="D80" s="1" cm="1">
        <f t="array" ref="D80">darcyf($B80,D$1)</f>
        <v>3.0586517055233964E-2</v>
      </c>
    </row>
    <row r="81" spans="1:4" x14ac:dyDescent="0.25">
      <c r="A81">
        <v>5.9</v>
      </c>
      <c r="B81">
        <f t="shared" si="1"/>
        <v>794328.23472428333</v>
      </c>
      <c r="C81" s="1" cm="1">
        <f t="array" ref="C81">darcyf($B81,C$1)</f>
        <v>1.2098392185241853E-2</v>
      </c>
      <c r="D81" s="1" cm="1">
        <f t="array" ref="D81">darcyf($B81,D$1)</f>
        <v>3.0542845162059545E-2</v>
      </c>
    </row>
    <row r="82" spans="1:4" x14ac:dyDescent="0.25">
      <c r="A82">
        <v>6</v>
      </c>
      <c r="B82">
        <f t="shared" si="1"/>
        <v>1000000</v>
      </c>
      <c r="C82" s="1" cm="1">
        <f t="array" ref="C82">darcyf($B82,C$1)</f>
        <v>1.1637893796025272E-2</v>
      </c>
      <c r="D82" s="1" cm="1">
        <f t="array" ref="D82">darcyf($B82,D$1)</f>
        <v>3.0507264630719587E-2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2C688-0088-4B61-B11F-8A1F7037D20F}">
  <sheetPr codeName="Sheet2"/>
  <dimension ref="A1:C21"/>
  <sheetViews>
    <sheetView tabSelected="1" zoomScale="220" zoomScaleNormal="220" workbookViewId="0">
      <selection activeCell="B14" sqref="B14"/>
    </sheetView>
  </sheetViews>
  <sheetFormatPr defaultRowHeight="15" x14ac:dyDescent="0.25"/>
  <cols>
    <col min="2" max="2" width="10.28515625" customWidth="1"/>
  </cols>
  <sheetData>
    <row r="1" spans="1:3" x14ac:dyDescent="0.25">
      <c r="A1" t="s">
        <v>1</v>
      </c>
      <c r="B1" s="2">
        <v>1000</v>
      </c>
      <c r="C1" t="s">
        <v>7</v>
      </c>
    </row>
    <row r="2" spans="1:3" x14ac:dyDescent="0.25">
      <c r="A2" t="s">
        <v>2</v>
      </c>
      <c r="B2" s="2">
        <v>1E-3</v>
      </c>
      <c r="C2" t="s">
        <v>8</v>
      </c>
    </row>
    <row r="3" spans="1:3" x14ac:dyDescent="0.25">
      <c r="A3" t="s">
        <v>3</v>
      </c>
      <c r="B3">
        <v>100</v>
      </c>
      <c r="C3" t="s">
        <v>9</v>
      </c>
    </row>
    <row r="4" spans="1:3" x14ac:dyDescent="0.25">
      <c r="A4" t="s">
        <v>4</v>
      </c>
      <c r="B4">
        <v>0.2</v>
      </c>
      <c r="C4" t="s">
        <v>9</v>
      </c>
    </row>
    <row r="5" spans="1:3" x14ac:dyDescent="0.25">
      <c r="A5" t="s">
        <v>5</v>
      </c>
      <c r="B5">
        <v>0.1</v>
      </c>
      <c r="C5" t="s">
        <v>10</v>
      </c>
    </row>
    <row r="6" spans="1:3" x14ac:dyDescent="0.25">
      <c r="A6" t="s">
        <v>6</v>
      </c>
      <c r="B6">
        <f>Q./(3.1416*D.^2/4)</f>
        <v>3.1830914183855357</v>
      </c>
      <c r="C6" t="s">
        <v>13</v>
      </c>
    </row>
    <row r="7" spans="1:3" x14ac:dyDescent="0.25">
      <c r="A7" t="s">
        <v>11</v>
      </c>
      <c r="B7">
        <f>rho.*V.*D./mu.</f>
        <v>636618.28367710719</v>
      </c>
    </row>
    <row r="8" spans="1:3" x14ac:dyDescent="0.25">
      <c r="A8" t="s">
        <v>12</v>
      </c>
      <c r="B8" s="2">
        <v>1E-4</v>
      </c>
    </row>
    <row r="10" spans="1:3" x14ac:dyDescent="0.25">
      <c r="A10" t="s">
        <v>14</v>
      </c>
      <c r="B10" cm="1">
        <f t="array" ref="B10">darcyf(Re.,eD.)*L./D.*rho.*(V.^2)/2</f>
        <v>35694.9497056826</v>
      </c>
      <c r="C10" t="s">
        <v>15</v>
      </c>
    </row>
    <row r="11" spans="1:3" x14ac:dyDescent="0.25">
      <c r="B11">
        <f>B10/101325</f>
        <v>0.35228176368796055</v>
      </c>
      <c r="C11" t="s">
        <v>16</v>
      </c>
    </row>
    <row r="12" spans="1:3" x14ac:dyDescent="0.25">
      <c r="B12">
        <f>B11*14.7</f>
        <v>5.1785419262130201</v>
      </c>
      <c r="C12" t="s">
        <v>17</v>
      </c>
    </row>
    <row r="14" spans="1:3" x14ac:dyDescent="0.25">
      <c r="A14" t="s">
        <v>18</v>
      </c>
      <c r="B14">
        <f>deltaP.*Q.</f>
        <v>3569.4949705682602</v>
      </c>
      <c r="C14" t="s">
        <v>19</v>
      </c>
    </row>
    <row r="15" spans="1:3" x14ac:dyDescent="0.25">
      <c r="B15">
        <f>power./746</f>
        <v>4.7848458050512868</v>
      </c>
      <c r="C15" t="s">
        <v>20</v>
      </c>
    </row>
    <row r="17" spans="1:3" x14ac:dyDescent="0.25">
      <c r="A17" t="s">
        <v>21</v>
      </c>
      <c r="B17">
        <f>2*3600</f>
        <v>7200</v>
      </c>
      <c r="C17" t="s">
        <v>22</v>
      </c>
    </row>
    <row r="19" spans="1:3" x14ac:dyDescent="0.25">
      <c r="A19" t="s">
        <v>23</v>
      </c>
      <c r="B19">
        <f>power.*duration.</f>
        <v>25700363.788091473</v>
      </c>
      <c r="C19" t="s">
        <v>24</v>
      </c>
    </row>
    <row r="20" spans="1:3" x14ac:dyDescent="0.25">
      <c r="B20">
        <f>B19/3600000</f>
        <v>7.1389899411365203</v>
      </c>
      <c r="C20" t="s">
        <v>25</v>
      </c>
    </row>
    <row r="21" spans="1:3" x14ac:dyDescent="0.25">
      <c r="B21">
        <f>0.15*B20</f>
        <v>1.0708484911704781</v>
      </c>
      <c r="C2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FrictionFactor_vs_Reynolds#_eD</vt:lpstr>
      <vt:lpstr>Sheet2</vt:lpstr>
      <vt:lpstr>D.</vt:lpstr>
      <vt:lpstr>deltaP.</vt:lpstr>
      <vt:lpstr>duration.</vt:lpstr>
      <vt:lpstr>eD.</vt:lpstr>
      <vt:lpstr>L.</vt:lpstr>
      <vt:lpstr>mu.</vt:lpstr>
      <vt:lpstr>power.</vt:lpstr>
      <vt:lpstr>Q.</vt:lpstr>
      <vt:lpstr>Re.</vt:lpstr>
      <vt:lpstr>rho.</vt:lpstr>
      <vt:lpstr>V.</vt:lpstr>
    </vt:vector>
  </TitlesOfParts>
  <Company>University of Cincinnati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C Co</dc:creator>
  <cp:lastModifiedBy>Carlos C Co</cp:lastModifiedBy>
  <dcterms:created xsi:type="dcterms:W3CDTF">2025-03-13T15:37:29Z</dcterms:created>
  <dcterms:modified xsi:type="dcterms:W3CDTF">2025-03-13T16:20:47Z</dcterms:modified>
</cp:coreProperties>
</file>